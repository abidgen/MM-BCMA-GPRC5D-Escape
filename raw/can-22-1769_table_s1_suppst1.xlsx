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junyao/Documents/Projects/MMY/cell_surface_markers/Figures/supp_table/"/>
    </mc:Choice>
  </mc:AlternateContent>
  <xr:revisionPtr revIDLastSave="0" documentId="10_ncr:8100000_{996CAAD2-6283-4B46-935E-46E71AA09075}" xr6:coauthVersionLast="34" xr6:coauthVersionMax="34" xr10:uidLastSave="{00000000-0000-0000-0000-000000000000}"/>
  <bookViews>
    <workbookView xWindow="0" yWindow="460" windowWidth="28800" windowHeight="16640" activeTab="1" xr2:uid="{00000000-000D-0000-FFFF-FFFF00000000}"/>
  </bookViews>
  <sheets>
    <sheet name="summary" sheetId="4" r:id="rId1"/>
    <sheet name="WashU cohort1 stage info" sheetId="5" r:id="rId2"/>
    <sheet name="proteomics validation cohort" sheetId="6" r:id="rId3"/>
    <sheet name="flow validation cohort" sheetId="7" r:id="rId4"/>
  </sheets>
  <calcPr calcId="162913"/>
</workbook>
</file>

<file path=xl/sharedStrings.xml><?xml version="1.0" encoding="utf-8"?>
<sst xmlns="http://schemas.openxmlformats.org/spreadsheetml/2006/main" count="392" uniqueCount="150">
  <si>
    <t>Male</t>
  </si>
  <si>
    <t>White</t>
  </si>
  <si>
    <t>KRD x 4; ASCT; KRD maintenance</t>
  </si>
  <si>
    <t>Age</t>
  </si>
  <si>
    <t>Gender</t>
  </si>
  <si>
    <t>Race</t>
  </si>
  <si>
    <t>ISS Stage</t>
  </si>
  <si>
    <t>TTPD</t>
  </si>
  <si>
    <t>Female</t>
  </si>
  <si>
    <t>Black or AA</t>
  </si>
  <si>
    <t xml:space="preserve">VRD x 7 </t>
  </si>
  <si>
    <t>Daratumumab x ?</t>
  </si>
  <si>
    <t>Dara-MPR x 1; VRD x 4; Len maintenance</t>
  </si>
  <si>
    <t>KRD x 4; ASCT; IRD consolidation x 4 ; Ixa/Len maintenance</t>
  </si>
  <si>
    <t>None</t>
  </si>
  <si>
    <t>NA</t>
  </si>
  <si>
    <t>VRD x ?</t>
  </si>
  <si>
    <t>Unknown</t>
  </si>
  <si>
    <t>KRD x 3; ASCT; Ixa/Len maintenance</t>
  </si>
  <si>
    <t>UNK</t>
  </si>
  <si>
    <t>VRD x 4; ASCT</t>
  </si>
  <si>
    <t>VRD x 3; ASCT; Len maintenance</t>
  </si>
  <si>
    <t>VCD+Rituximab x 5; ASCT; VCD x 2</t>
  </si>
  <si>
    <t>RVD+Daratumamab x 4; ASCT</t>
  </si>
  <si>
    <t>VD x 3; ASCT; Len maintenance</t>
  </si>
  <si>
    <t>KRD x 4; Carf maintenance</t>
  </si>
  <si>
    <t>RVD x 4; ASCT; Len Main</t>
  </si>
  <si>
    <t>VD x 1; KRD x 3; RVD x 3</t>
  </si>
  <si>
    <t>VRD-Daratumamab x 4; ASCT; VRD-Daratumamab x2; Dara/Len Maintenance</t>
  </si>
  <si>
    <t>KRD x 4; ASCT; Len main</t>
  </si>
  <si>
    <t>VRD x 4; ASCT; Len maintenance</t>
  </si>
  <si>
    <t>Hispanic</t>
  </si>
  <si>
    <t>MMRF_1695</t>
  </si>
  <si>
    <t>MMRF_1325</t>
  </si>
  <si>
    <t>MMRF_1413</t>
  </si>
  <si>
    <t>MMRF_1537</t>
  </si>
  <si>
    <t>MMRF_1941</t>
  </si>
  <si>
    <t>MMRF_1686</t>
  </si>
  <si>
    <t>MMRF_1424</t>
  </si>
  <si>
    <t>MMRF_1720</t>
  </si>
  <si>
    <t>MMRF_1505</t>
  </si>
  <si>
    <t>MMRF_1777</t>
  </si>
  <si>
    <t>MMRF_2259</t>
  </si>
  <si>
    <t>MMRF_2251</t>
  </si>
  <si>
    <t>MMRF_2168</t>
  </si>
  <si>
    <t>MMRF_2038</t>
  </si>
  <si>
    <t>MMRF_1267</t>
  </si>
  <si>
    <t>MMRF_1967</t>
  </si>
  <si>
    <t>MMRF_1641</t>
  </si>
  <si>
    <t>MMRF_1640</t>
  </si>
  <si>
    <t>combined bortezomib/IMIDs-based</t>
  </si>
  <si>
    <t>Bortezomib-based</t>
  </si>
  <si>
    <t>Relapse-1</t>
  </si>
  <si>
    <t>27522_1</t>
  </si>
  <si>
    <t>Primary</t>
  </si>
  <si>
    <t>27522_2</t>
  </si>
  <si>
    <t>27522_3</t>
  </si>
  <si>
    <t>27522_4</t>
  </si>
  <si>
    <t>Relapse-2</t>
  </si>
  <si>
    <t>SMM</t>
  </si>
  <si>
    <t>37692_2</t>
  </si>
  <si>
    <t>47491_1</t>
  </si>
  <si>
    <t>47491_2</t>
  </si>
  <si>
    <t>56203_1</t>
  </si>
  <si>
    <t>56203_2</t>
  </si>
  <si>
    <t>57075_3</t>
  </si>
  <si>
    <t>58408_1</t>
  </si>
  <si>
    <t>58408_2</t>
  </si>
  <si>
    <t>59114_1</t>
  </si>
  <si>
    <t>59114_4</t>
  </si>
  <si>
    <t>60359_1</t>
  </si>
  <si>
    <t>60359_2</t>
  </si>
  <si>
    <t>81012_1</t>
  </si>
  <si>
    <t>81012_2</t>
  </si>
  <si>
    <t>WASHU Cohort 1</t>
  </si>
  <si>
    <t>WASHU Cohort 2</t>
  </si>
  <si>
    <t>Treatment</t>
  </si>
  <si>
    <t>patient  id</t>
  </si>
  <si>
    <t>27522_5</t>
  </si>
  <si>
    <t>Remission-2</t>
  </si>
  <si>
    <t>Remission-1</t>
  </si>
  <si>
    <t>Relapse-3</t>
  </si>
  <si>
    <t>27522_6</t>
  </si>
  <si>
    <t>non-White</t>
  </si>
  <si>
    <t>MMRF Immune Atlas Pilot Study Cohort</t>
  </si>
  <si>
    <t>MMY18273</t>
  </si>
  <si>
    <t>MMY21940</t>
  </si>
  <si>
    <t>MMY22933</t>
  </si>
  <si>
    <t>MMY34339</t>
  </si>
  <si>
    <t>MMY34600</t>
  </si>
  <si>
    <t>MMY40511</t>
  </si>
  <si>
    <t>MMY47218</t>
  </si>
  <si>
    <t>MMY67868</t>
  </si>
  <si>
    <t>MMY70893</t>
  </si>
  <si>
    <t>MMY74196</t>
  </si>
  <si>
    <t>MMY80649</t>
  </si>
  <si>
    <t>MMY83942</t>
  </si>
  <si>
    <t>MMY98423</t>
  </si>
  <si>
    <t>Black</t>
  </si>
  <si>
    <t>Melph/Pred, Doxorubicin/Vincristine/Dex, Vel/Dex, Rev/Dex, Vel/Dex</t>
  </si>
  <si>
    <t>Vel/Rev/Dex,  ASCT 2/2014, Vel until 9/2016</t>
  </si>
  <si>
    <t>None as of 6/16/21</t>
  </si>
  <si>
    <t>None as of 5/20/20</t>
  </si>
  <si>
    <t>TTPD in months</t>
  </si>
  <si>
    <t>MM87243</t>
  </si>
  <si>
    <t>MM49092</t>
  </si>
  <si>
    <t>MM90824</t>
  </si>
  <si>
    <t>MM70995</t>
  </si>
  <si>
    <t>MM99355</t>
  </si>
  <si>
    <t>MM69640</t>
  </si>
  <si>
    <t>MM28995</t>
  </si>
  <si>
    <t>MM56246</t>
  </si>
  <si>
    <t>MM88216</t>
  </si>
  <si>
    <t>CollectionDate</t>
  </si>
  <si>
    <t xml:space="preserve">Treatment Status at time of collection </t>
  </si>
  <si>
    <t>Partil response</t>
  </si>
  <si>
    <t>Unteated</t>
  </si>
  <si>
    <t>Patient_85848</t>
  </si>
  <si>
    <t>Patient_91621</t>
  </si>
  <si>
    <t>Patient_11313</t>
  </si>
  <si>
    <t>Patient_26970</t>
  </si>
  <si>
    <t>Table S1.3  Clinical characteristics of patinets in proteomics validation cohort</t>
  </si>
  <si>
    <t xml:space="preserve">White </t>
  </si>
  <si>
    <t>I</t>
  </si>
  <si>
    <t>III</t>
  </si>
  <si>
    <t>uk</t>
  </si>
  <si>
    <t>II</t>
  </si>
  <si>
    <t>NDMM</t>
  </si>
  <si>
    <t>Prev Treated</t>
  </si>
  <si>
    <t>Carf/Dex</t>
  </si>
  <si>
    <t>Rev</t>
  </si>
  <si>
    <t>Date of ASCT</t>
  </si>
  <si>
    <t>Chemo at time of biopsy</t>
  </si>
  <si>
    <t>Abreveations</t>
  </si>
  <si>
    <t>Vel</t>
  </si>
  <si>
    <t>Velcade</t>
  </si>
  <si>
    <t>Revlimid</t>
  </si>
  <si>
    <t>Dex</t>
  </si>
  <si>
    <t>Dexamethasone</t>
  </si>
  <si>
    <t>Dara</t>
  </si>
  <si>
    <t>Daratumumab</t>
  </si>
  <si>
    <t>Pom</t>
  </si>
  <si>
    <t>Pomalidomide</t>
  </si>
  <si>
    <t xml:space="preserve">carfilzomib </t>
  </si>
  <si>
    <t>Carf</t>
  </si>
  <si>
    <t>NA (SMM patient)</t>
  </si>
  <si>
    <t>Collection Date</t>
  </si>
  <si>
    <t xml:space="preserve">Table S1.4  Clinical characteristics of patinets in flow validation cohort						</t>
  </si>
  <si>
    <t>Table S1.1 Clinical characteristics of patinets in scRNA-seq discovery cohort</t>
  </si>
  <si>
    <t>Table S1.2 Disease stage of WashU cohort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</si>
</sst>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m/d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0" fillId="0" borderId="0" xfId="0" applyNumberFormat="1" applyFill="1" applyAlignment="1">
      <alignment horizontal="center"/>
    </xf>
    <xf numFmtId="0" fontId="1" fillId="0" borderId="0" xfId="0" applyFont="1"/>
    <xf numFmtId="14" fontId="0" fillId="0" borderId="0" xfId="0" applyNumberForma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636B-A243-304C-B591-1E32CC810F71}">
  <dimension ref="A1:N46"/>
  <sheetViews>
    <sheetView zoomScale="125" workbookViewId="0">
      <selection activeCell="C22" sqref="C22"/>
    </sheetView>
  </sheetViews>
  <sheetFormatPr baseColWidth="10" defaultRowHeight="15" x14ac:dyDescent="0.2"/>
  <cols>
    <col min="1" max="1" width="13.83203125" style="2" customWidth="1"/>
    <col min="2" max="6" width="10.83203125" style="1"/>
    <col min="7" max="7" width="73" style="1" customWidth="1"/>
    <col min="8" max="8" width="13.33203125" style="1" bestFit="1" customWidth="1"/>
    <col min="9" max="16384" width="10.83203125" style="1"/>
  </cols>
  <sheetData>
    <row r="1" spans="1:14" s="5" customFormat="1" x14ac:dyDescent="0.2">
      <c r="A1" s="34" t="s">
        <v>148</v>
      </c>
      <c r="B1" s="33"/>
      <c r="C1" s="33"/>
      <c r="D1" s="33"/>
      <c r="E1" s="33"/>
      <c r="F1" s="33"/>
      <c r="G1" s="33"/>
      <c r="H1" s="33"/>
      <c r="I1" s="33"/>
    </row>
    <row r="2" spans="1:14" s="7" customFormat="1" x14ac:dyDescent="0.2">
      <c r="A2" s="6"/>
      <c r="B2" s="7" t="s">
        <v>77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76</v>
      </c>
      <c r="H2" s="7" t="s">
        <v>103</v>
      </c>
      <c r="J2" s="32"/>
      <c r="K2" s="32"/>
      <c r="L2" s="32"/>
      <c r="M2" s="32"/>
      <c r="N2" s="32"/>
    </row>
    <row r="3" spans="1:14" x14ac:dyDescent="0.2">
      <c r="A3" s="33" t="s">
        <v>74</v>
      </c>
      <c r="B3" s="1">
        <v>59114</v>
      </c>
      <c r="C3" s="1">
        <v>49</v>
      </c>
      <c r="D3" s="1" t="s">
        <v>0</v>
      </c>
      <c r="E3" s="1" t="s">
        <v>1</v>
      </c>
      <c r="F3" s="1">
        <v>2</v>
      </c>
      <c r="G3" s="1" t="s">
        <v>2</v>
      </c>
      <c r="H3" s="1">
        <v>44.57</v>
      </c>
      <c r="J3" s="3"/>
      <c r="K3" s="3"/>
      <c r="L3" s="3"/>
      <c r="M3" s="3"/>
      <c r="N3" s="3"/>
    </row>
    <row r="4" spans="1:14" x14ac:dyDescent="0.2">
      <c r="A4" s="33"/>
      <c r="B4" s="1">
        <v>27522</v>
      </c>
      <c r="C4" s="1">
        <v>69</v>
      </c>
      <c r="D4" s="1" t="s">
        <v>0</v>
      </c>
      <c r="E4" s="1" t="s">
        <v>1</v>
      </c>
      <c r="F4" s="1">
        <v>2</v>
      </c>
      <c r="G4" s="1" t="s">
        <v>13</v>
      </c>
      <c r="H4" s="1">
        <v>32.729999999999997</v>
      </c>
      <c r="J4" s="3"/>
      <c r="K4" s="3"/>
      <c r="L4" s="3"/>
      <c r="M4" s="3"/>
    </row>
    <row r="5" spans="1:14" x14ac:dyDescent="0.2">
      <c r="A5" s="33"/>
      <c r="B5" s="1">
        <v>57075</v>
      </c>
      <c r="C5" s="1">
        <v>62</v>
      </c>
      <c r="D5" s="1" t="s">
        <v>8</v>
      </c>
      <c r="E5" s="1" t="s">
        <v>1</v>
      </c>
      <c r="F5" s="1">
        <v>2</v>
      </c>
      <c r="G5" s="1" t="s">
        <v>22</v>
      </c>
      <c r="H5" s="1">
        <v>42.34</v>
      </c>
      <c r="J5" s="3"/>
      <c r="K5" s="3"/>
      <c r="L5" s="3"/>
    </row>
    <row r="6" spans="1:14" x14ac:dyDescent="0.2">
      <c r="A6" s="33"/>
      <c r="B6" s="1">
        <v>56203</v>
      </c>
      <c r="C6" s="1">
        <v>63</v>
      </c>
      <c r="D6" s="1" t="s">
        <v>8</v>
      </c>
      <c r="E6" s="1" t="s">
        <v>1</v>
      </c>
      <c r="F6" s="1">
        <v>3</v>
      </c>
      <c r="G6" s="1" t="s">
        <v>21</v>
      </c>
      <c r="H6" s="1">
        <v>16.48</v>
      </c>
      <c r="J6" s="3"/>
      <c r="K6" s="3"/>
    </row>
    <row r="7" spans="1:14" x14ac:dyDescent="0.2">
      <c r="A7" s="33"/>
      <c r="B7" s="1">
        <v>60359</v>
      </c>
      <c r="C7" s="1">
        <v>57</v>
      </c>
      <c r="D7" s="1" t="s">
        <v>0</v>
      </c>
      <c r="E7" s="1" t="s">
        <v>1</v>
      </c>
      <c r="F7" s="1">
        <v>1</v>
      </c>
      <c r="G7" s="1" t="s">
        <v>24</v>
      </c>
      <c r="H7" s="1">
        <v>33.85</v>
      </c>
      <c r="J7" s="3"/>
      <c r="K7" s="3"/>
    </row>
    <row r="8" spans="1:14" x14ac:dyDescent="0.2">
      <c r="A8" s="33"/>
      <c r="B8" s="1">
        <v>81012</v>
      </c>
      <c r="C8" s="1">
        <v>59</v>
      </c>
      <c r="D8" s="1" t="s">
        <v>8</v>
      </c>
      <c r="E8" s="1" t="s">
        <v>1</v>
      </c>
      <c r="F8" s="1">
        <v>1</v>
      </c>
      <c r="G8" s="1" t="s">
        <v>30</v>
      </c>
      <c r="H8" s="1">
        <v>26.45</v>
      </c>
      <c r="J8" s="3"/>
      <c r="K8" s="3"/>
    </row>
    <row r="9" spans="1:14" x14ac:dyDescent="0.2">
      <c r="A9" s="33"/>
      <c r="B9" s="1">
        <v>58408</v>
      </c>
      <c r="C9" s="1">
        <v>53</v>
      </c>
      <c r="D9" s="1" t="s">
        <v>0</v>
      </c>
      <c r="E9" s="1" t="s">
        <v>1</v>
      </c>
      <c r="F9" s="1" t="s">
        <v>19</v>
      </c>
      <c r="G9" s="1" t="s">
        <v>23</v>
      </c>
      <c r="H9" s="1">
        <v>7.73</v>
      </c>
      <c r="J9" s="3"/>
      <c r="K9" s="3"/>
    </row>
    <row r="10" spans="1:14" x14ac:dyDescent="0.2">
      <c r="A10" s="33"/>
      <c r="B10" s="1">
        <v>37692</v>
      </c>
      <c r="C10" s="1">
        <v>68</v>
      </c>
      <c r="D10" s="1" t="s">
        <v>0</v>
      </c>
      <c r="E10" s="1" t="s">
        <v>1</v>
      </c>
      <c r="F10" s="1">
        <v>1</v>
      </c>
      <c r="G10" s="1" t="s">
        <v>17</v>
      </c>
      <c r="H10" s="1" t="s">
        <v>15</v>
      </c>
      <c r="J10" s="3"/>
      <c r="K10" s="3"/>
    </row>
    <row r="11" spans="1:14" x14ac:dyDescent="0.2">
      <c r="A11" s="33"/>
      <c r="B11" s="1">
        <v>47491</v>
      </c>
      <c r="C11" s="1">
        <v>68</v>
      </c>
      <c r="D11" s="1" t="s">
        <v>0</v>
      </c>
      <c r="E11" s="1" t="s">
        <v>1</v>
      </c>
      <c r="F11" s="1" t="s">
        <v>19</v>
      </c>
      <c r="G11" s="1" t="s">
        <v>17</v>
      </c>
      <c r="H11" s="5" t="s">
        <v>15</v>
      </c>
      <c r="J11" s="3"/>
      <c r="K11" s="3"/>
    </row>
    <row r="12" spans="1:14" x14ac:dyDescent="0.2">
      <c r="A12" s="33"/>
      <c r="B12" s="1">
        <v>77570</v>
      </c>
      <c r="C12" s="1">
        <v>66</v>
      </c>
      <c r="D12" s="1" t="s">
        <v>8</v>
      </c>
      <c r="E12" s="1" t="s">
        <v>1</v>
      </c>
      <c r="F12" s="1">
        <v>1</v>
      </c>
      <c r="G12" s="1" t="s">
        <v>28</v>
      </c>
      <c r="H12" s="1">
        <v>34.340000000000003</v>
      </c>
      <c r="J12" s="3"/>
    </row>
    <row r="13" spans="1:14" x14ac:dyDescent="0.2">
      <c r="A13" s="33"/>
      <c r="B13" s="1">
        <v>83942</v>
      </c>
      <c r="C13" s="1">
        <v>63</v>
      </c>
      <c r="D13" s="1" t="s">
        <v>0</v>
      </c>
      <c r="E13" s="1" t="s">
        <v>1</v>
      </c>
      <c r="F13" s="1">
        <v>3</v>
      </c>
      <c r="G13" s="1" t="s">
        <v>17</v>
      </c>
      <c r="H13" s="5" t="s">
        <v>15</v>
      </c>
      <c r="J13" s="3"/>
    </row>
    <row r="14" spans="1:14" x14ac:dyDescent="0.2">
      <c r="A14" s="33"/>
      <c r="B14" s="1">
        <v>98433</v>
      </c>
      <c r="C14" s="1">
        <v>46</v>
      </c>
      <c r="D14" s="1" t="s">
        <v>0</v>
      </c>
      <c r="E14" s="1" t="s">
        <v>1</v>
      </c>
      <c r="F14" s="1" t="s">
        <v>19</v>
      </c>
      <c r="G14" s="1" t="s">
        <v>14</v>
      </c>
      <c r="H14" s="5" t="s">
        <v>15</v>
      </c>
      <c r="J14" s="3"/>
    </row>
    <row r="15" spans="1:14" x14ac:dyDescent="0.2">
      <c r="A15" s="33"/>
      <c r="B15" s="1">
        <v>47499</v>
      </c>
      <c r="C15" s="1">
        <v>63</v>
      </c>
      <c r="D15" s="1" t="s">
        <v>0</v>
      </c>
      <c r="E15" s="1" t="s">
        <v>1</v>
      </c>
      <c r="F15" s="1">
        <v>1</v>
      </c>
      <c r="G15" s="1" t="s">
        <v>20</v>
      </c>
      <c r="H15" s="1">
        <v>8.49</v>
      </c>
      <c r="J15" s="3"/>
    </row>
    <row r="16" spans="1:14" x14ac:dyDescent="0.2">
      <c r="A16" s="33" t="s">
        <v>75</v>
      </c>
      <c r="B16" s="1" t="s">
        <v>85</v>
      </c>
      <c r="C16" s="1">
        <v>60</v>
      </c>
      <c r="D16" s="1" t="s">
        <v>8</v>
      </c>
      <c r="E16" s="1" t="s">
        <v>9</v>
      </c>
      <c r="F16" s="1">
        <v>3</v>
      </c>
      <c r="G16" s="1" t="s">
        <v>10</v>
      </c>
      <c r="H16" s="1">
        <v>11.61</v>
      </c>
    </row>
    <row r="17" spans="1:8" x14ac:dyDescent="0.2">
      <c r="A17" s="33"/>
      <c r="B17" s="1" t="s">
        <v>86</v>
      </c>
      <c r="C17" s="1">
        <v>71</v>
      </c>
      <c r="D17" s="1" t="s">
        <v>8</v>
      </c>
      <c r="E17" s="1" t="s">
        <v>1</v>
      </c>
      <c r="F17" s="1">
        <v>2</v>
      </c>
      <c r="G17" s="1" t="s">
        <v>11</v>
      </c>
      <c r="H17" s="1">
        <v>5.79</v>
      </c>
    </row>
    <row r="18" spans="1:8" x14ac:dyDescent="0.2">
      <c r="A18" s="33"/>
      <c r="B18" s="1" t="s">
        <v>87</v>
      </c>
      <c r="C18" s="1">
        <v>62</v>
      </c>
      <c r="D18" s="1" t="s">
        <v>0</v>
      </c>
      <c r="E18" s="1" t="s">
        <v>1</v>
      </c>
      <c r="F18" s="1">
        <v>3</v>
      </c>
      <c r="G18" s="1" t="s">
        <v>12</v>
      </c>
      <c r="H18" s="1">
        <v>10.89</v>
      </c>
    </row>
    <row r="19" spans="1:8" x14ac:dyDescent="0.2">
      <c r="A19" s="33"/>
      <c r="B19" s="1" t="s">
        <v>88</v>
      </c>
      <c r="C19" s="1">
        <v>65</v>
      </c>
      <c r="D19" s="1" t="s">
        <v>0</v>
      </c>
      <c r="E19" s="1" t="s">
        <v>1</v>
      </c>
      <c r="F19" s="1">
        <v>3</v>
      </c>
      <c r="G19" s="1" t="s">
        <v>14</v>
      </c>
      <c r="H19" s="5" t="s">
        <v>15</v>
      </c>
    </row>
    <row r="20" spans="1:8" x14ac:dyDescent="0.2">
      <c r="A20" s="33"/>
      <c r="B20" s="1" t="s">
        <v>89</v>
      </c>
      <c r="C20" s="1">
        <v>74</v>
      </c>
      <c r="D20" s="1" t="s">
        <v>8</v>
      </c>
      <c r="E20" s="1" t="s">
        <v>1</v>
      </c>
      <c r="F20" s="1">
        <v>3</v>
      </c>
      <c r="G20" s="1" t="s">
        <v>16</v>
      </c>
      <c r="H20" s="1">
        <v>1.97</v>
      </c>
    </row>
    <row r="21" spans="1:8" x14ac:dyDescent="0.2">
      <c r="A21" s="33"/>
      <c r="B21" s="1" t="s">
        <v>90</v>
      </c>
      <c r="C21" s="1">
        <v>65</v>
      </c>
      <c r="D21" s="1" t="s">
        <v>0</v>
      </c>
      <c r="E21" s="1" t="s">
        <v>1</v>
      </c>
      <c r="F21" s="1">
        <v>1</v>
      </c>
      <c r="G21" s="1" t="s">
        <v>18</v>
      </c>
      <c r="H21" s="1">
        <v>24.9</v>
      </c>
    </row>
    <row r="22" spans="1:8" x14ac:dyDescent="0.2">
      <c r="A22" s="33"/>
      <c r="B22" s="1" t="s">
        <v>91</v>
      </c>
      <c r="C22" s="1">
        <v>63</v>
      </c>
      <c r="D22" s="1" t="s">
        <v>0</v>
      </c>
      <c r="E22" s="1" t="s">
        <v>1</v>
      </c>
      <c r="F22" s="1">
        <v>3</v>
      </c>
      <c r="G22" s="1" t="s">
        <v>2</v>
      </c>
      <c r="H22" s="1">
        <v>10.89</v>
      </c>
    </row>
    <row r="23" spans="1:8" x14ac:dyDescent="0.2">
      <c r="A23" s="33"/>
      <c r="B23" s="1" t="s">
        <v>92</v>
      </c>
      <c r="C23" s="1">
        <v>58</v>
      </c>
      <c r="D23" s="1" t="s">
        <v>0</v>
      </c>
      <c r="E23" s="1" t="s">
        <v>9</v>
      </c>
      <c r="F23" s="1">
        <v>1</v>
      </c>
      <c r="G23" s="1" t="s">
        <v>25</v>
      </c>
      <c r="H23" s="1">
        <v>7.5</v>
      </c>
    </row>
    <row r="24" spans="1:8" x14ac:dyDescent="0.2">
      <c r="A24" s="33"/>
      <c r="B24" s="1" t="s">
        <v>93</v>
      </c>
      <c r="C24" s="1">
        <v>59</v>
      </c>
      <c r="D24" s="1" t="s">
        <v>0</v>
      </c>
      <c r="E24" s="1" t="s">
        <v>9</v>
      </c>
      <c r="F24" s="1">
        <v>1</v>
      </c>
      <c r="G24" s="1" t="s">
        <v>26</v>
      </c>
      <c r="H24" s="1">
        <v>13.22</v>
      </c>
    </row>
    <row r="25" spans="1:8" x14ac:dyDescent="0.2">
      <c r="A25" s="33"/>
      <c r="B25" s="1" t="s">
        <v>94</v>
      </c>
      <c r="C25" s="1">
        <v>73</v>
      </c>
      <c r="D25" s="1" t="s">
        <v>8</v>
      </c>
      <c r="E25" s="1" t="s">
        <v>1</v>
      </c>
      <c r="F25" s="1">
        <v>2</v>
      </c>
      <c r="G25" s="1" t="s">
        <v>27</v>
      </c>
      <c r="H25" s="1">
        <v>6.78</v>
      </c>
    </row>
    <row r="26" spans="1:8" x14ac:dyDescent="0.2">
      <c r="A26" s="33"/>
      <c r="B26" s="1" t="s">
        <v>95</v>
      </c>
      <c r="C26" s="1">
        <v>62</v>
      </c>
      <c r="D26" s="1" t="s">
        <v>0</v>
      </c>
      <c r="E26" s="1" t="s">
        <v>1</v>
      </c>
      <c r="F26" s="1">
        <v>1</v>
      </c>
      <c r="G26" s="1" t="s">
        <v>29</v>
      </c>
      <c r="H26" s="1">
        <v>12.96</v>
      </c>
    </row>
    <row r="27" spans="1:8" x14ac:dyDescent="0.2">
      <c r="A27" s="33"/>
      <c r="B27" s="1" t="s">
        <v>96</v>
      </c>
      <c r="C27" s="1">
        <v>63</v>
      </c>
      <c r="D27" s="1" t="s">
        <v>0</v>
      </c>
      <c r="E27" s="1" t="s">
        <v>1</v>
      </c>
      <c r="F27" s="1">
        <v>3</v>
      </c>
      <c r="G27" s="1" t="s">
        <v>17</v>
      </c>
      <c r="H27" s="5" t="s">
        <v>15</v>
      </c>
    </row>
    <row r="28" spans="1:8" x14ac:dyDescent="0.2">
      <c r="A28" s="33"/>
      <c r="B28" s="1" t="s">
        <v>97</v>
      </c>
      <c r="C28" s="1">
        <v>68</v>
      </c>
      <c r="D28" s="1" t="s">
        <v>0</v>
      </c>
      <c r="E28" s="1" t="s">
        <v>31</v>
      </c>
      <c r="F28" s="1">
        <v>3</v>
      </c>
      <c r="G28" s="1" t="s">
        <v>16</v>
      </c>
      <c r="H28" s="1">
        <v>0.95</v>
      </c>
    </row>
    <row r="29" spans="1:8" x14ac:dyDescent="0.2">
      <c r="A29" s="33" t="s">
        <v>84</v>
      </c>
      <c r="B29" s="1" t="s">
        <v>46</v>
      </c>
      <c r="C29" s="1">
        <v>39</v>
      </c>
      <c r="D29" s="5" t="s">
        <v>8</v>
      </c>
      <c r="E29" s="5" t="s">
        <v>1</v>
      </c>
      <c r="F29" s="1">
        <v>2</v>
      </c>
      <c r="G29" s="1" t="s">
        <v>50</v>
      </c>
      <c r="H29" s="1">
        <v>183</v>
      </c>
    </row>
    <row r="30" spans="1:8" x14ac:dyDescent="0.2">
      <c r="A30" s="33"/>
      <c r="B30" s="1" t="s">
        <v>33</v>
      </c>
      <c r="C30" s="1">
        <v>58</v>
      </c>
      <c r="D30" s="5" t="s">
        <v>0</v>
      </c>
      <c r="E30" s="1" t="s">
        <v>83</v>
      </c>
      <c r="F30" s="1">
        <v>3</v>
      </c>
      <c r="G30" s="1" t="s">
        <v>50</v>
      </c>
      <c r="H30" s="1">
        <v>144</v>
      </c>
    </row>
    <row r="31" spans="1:8" x14ac:dyDescent="0.2">
      <c r="A31" s="33"/>
      <c r="B31" s="1" t="s">
        <v>34</v>
      </c>
      <c r="C31" s="1">
        <v>71</v>
      </c>
      <c r="D31" s="5" t="s">
        <v>8</v>
      </c>
      <c r="E31" s="5" t="s">
        <v>1</v>
      </c>
      <c r="F31" s="1">
        <v>3</v>
      </c>
      <c r="G31" s="1" t="s">
        <v>51</v>
      </c>
      <c r="H31" s="1" t="s">
        <v>15</v>
      </c>
    </row>
    <row r="32" spans="1:8" x14ac:dyDescent="0.2">
      <c r="A32" s="33"/>
      <c r="B32" s="1" t="s">
        <v>38</v>
      </c>
      <c r="C32" s="1">
        <v>40</v>
      </c>
      <c r="D32" s="5" t="s">
        <v>0</v>
      </c>
      <c r="E32" s="5" t="s">
        <v>1</v>
      </c>
      <c r="F32" s="1">
        <v>3</v>
      </c>
      <c r="G32" s="1" t="s">
        <v>50</v>
      </c>
      <c r="H32" s="1">
        <v>113</v>
      </c>
    </row>
    <row r="33" spans="1:8" x14ac:dyDescent="0.2">
      <c r="A33" s="33"/>
      <c r="B33" s="1" t="s">
        <v>40</v>
      </c>
      <c r="C33" s="1">
        <v>62</v>
      </c>
      <c r="D33" s="5" t="s">
        <v>8</v>
      </c>
      <c r="E33" s="5" t="s">
        <v>1</v>
      </c>
      <c r="F33" s="1">
        <v>3</v>
      </c>
      <c r="G33" s="1" t="s">
        <v>50</v>
      </c>
      <c r="H33" s="1">
        <v>162</v>
      </c>
    </row>
    <row r="34" spans="1:8" x14ac:dyDescent="0.2">
      <c r="A34" s="33"/>
      <c r="B34" s="1" t="s">
        <v>35</v>
      </c>
      <c r="C34" s="1">
        <v>62</v>
      </c>
      <c r="D34" s="5" t="s">
        <v>8</v>
      </c>
      <c r="E34" s="5" t="s">
        <v>1</v>
      </c>
      <c r="F34" s="1">
        <v>3</v>
      </c>
      <c r="G34" s="1" t="s">
        <v>50</v>
      </c>
      <c r="H34" s="1" t="s">
        <v>15</v>
      </c>
    </row>
    <row r="35" spans="1:8" x14ac:dyDescent="0.2">
      <c r="A35" s="33"/>
      <c r="B35" s="1" t="s">
        <v>49</v>
      </c>
      <c r="C35" s="1">
        <v>71</v>
      </c>
      <c r="D35" s="5" t="s">
        <v>8</v>
      </c>
      <c r="E35" s="5" t="s">
        <v>1</v>
      </c>
      <c r="F35" s="1">
        <v>3</v>
      </c>
      <c r="G35" s="1" t="s">
        <v>50</v>
      </c>
      <c r="H35" s="1" t="s">
        <v>15</v>
      </c>
    </row>
    <row r="36" spans="1:8" x14ac:dyDescent="0.2">
      <c r="A36" s="33"/>
      <c r="B36" s="1" t="s">
        <v>48</v>
      </c>
      <c r="C36" s="1">
        <v>70</v>
      </c>
      <c r="D36" s="5" t="s">
        <v>8</v>
      </c>
      <c r="E36" s="5" t="s">
        <v>1</v>
      </c>
      <c r="F36" s="1">
        <v>3</v>
      </c>
      <c r="G36" s="1" t="s">
        <v>51</v>
      </c>
      <c r="H36" s="1">
        <v>90</v>
      </c>
    </row>
    <row r="37" spans="1:8" x14ac:dyDescent="0.2">
      <c r="A37" s="33"/>
      <c r="B37" s="1" t="s">
        <v>37</v>
      </c>
      <c r="C37" s="1">
        <v>37</v>
      </c>
      <c r="D37" s="5" t="s">
        <v>0</v>
      </c>
      <c r="E37" s="5" t="s">
        <v>1</v>
      </c>
      <c r="F37" s="1">
        <v>1</v>
      </c>
      <c r="G37" s="1" t="s">
        <v>51</v>
      </c>
      <c r="H37" s="1" t="s">
        <v>15</v>
      </c>
    </row>
    <row r="38" spans="1:8" x14ac:dyDescent="0.2">
      <c r="A38" s="33"/>
      <c r="B38" s="1" t="s">
        <v>32</v>
      </c>
      <c r="C38" s="1">
        <v>61</v>
      </c>
      <c r="D38" s="5" t="s">
        <v>8</v>
      </c>
      <c r="E38" s="5" t="s">
        <v>1</v>
      </c>
      <c r="F38" s="1">
        <v>3</v>
      </c>
      <c r="G38" s="1" t="s">
        <v>50</v>
      </c>
      <c r="H38" s="1" t="s">
        <v>15</v>
      </c>
    </row>
    <row r="39" spans="1:8" x14ac:dyDescent="0.2">
      <c r="A39" s="33"/>
      <c r="B39" s="1" t="s">
        <v>39</v>
      </c>
      <c r="C39" s="1">
        <v>83</v>
      </c>
      <c r="D39" s="5" t="s">
        <v>8</v>
      </c>
      <c r="E39" s="5" t="s">
        <v>1</v>
      </c>
      <c r="F39" s="1">
        <v>3</v>
      </c>
      <c r="G39" s="1" t="s">
        <v>51</v>
      </c>
      <c r="H39" s="1">
        <v>64</v>
      </c>
    </row>
    <row r="40" spans="1:8" x14ac:dyDescent="0.2">
      <c r="A40" s="33"/>
      <c r="B40" s="1" t="s">
        <v>41</v>
      </c>
      <c r="C40" s="1">
        <v>67</v>
      </c>
      <c r="D40" s="5" t="s">
        <v>0</v>
      </c>
      <c r="E40" s="5" t="s">
        <v>1</v>
      </c>
      <c r="F40" s="1">
        <v>1</v>
      </c>
      <c r="G40" s="1" t="s">
        <v>51</v>
      </c>
      <c r="H40" s="1">
        <v>162</v>
      </c>
    </row>
    <row r="41" spans="1:8" x14ac:dyDescent="0.2">
      <c r="A41" s="33"/>
      <c r="B41" s="1" t="s">
        <v>36</v>
      </c>
      <c r="C41" s="1">
        <v>58</v>
      </c>
      <c r="D41" s="5" t="s">
        <v>8</v>
      </c>
      <c r="E41" s="5" t="s">
        <v>1</v>
      </c>
      <c r="F41" s="1">
        <v>2</v>
      </c>
      <c r="G41" s="1" t="s">
        <v>50</v>
      </c>
      <c r="H41" s="1" t="s">
        <v>15</v>
      </c>
    </row>
    <row r="42" spans="1:8" x14ac:dyDescent="0.2">
      <c r="A42" s="33"/>
      <c r="B42" s="1" t="s">
        <v>47</v>
      </c>
      <c r="C42" s="1">
        <v>74</v>
      </c>
      <c r="D42" s="5" t="s">
        <v>8</v>
      </c>
      <c r="E42" s="5" t="s">
        <v>1</v>
      </c>
      <c r="F42" s="1">
        <v>2</v>
      </c>
      <c r="G42" s="1" t="s">
        <v>50</v>
      </c>
      <c r="H42" s="1" t="s">
        <v>15</v>
      </c>
    </row>
    <row r="43" spans="1:8" x14ac:dyDescent="0.2">
      <c r="A43" s="33"/>
      <c r="B43" s="1" t="s">
        <v>45</v>
      </c>
      <c r="C43" s="1">
        <v>37</v>
      </c>
      <c r="D43" s="5" t="s">
        <v>0</v>
      </c>
      <c r="E43" s="5" t="s">
        <v>1</v>
      </c>
      <c r="F43" s="1">
        <v>3</v>
      </c>
      <c r="G43" s="1" t="s">
        <v>50</v>
      </c>
      <c r="H43" s="1" t="s">
        <v>15</v>
      </c>
    </row>
    <row r="44" spans="1:8" x14ac:dyDescent="0.2">
      <c r="A44" s="33"/>
      <c r="B44" s="1" t="s">
        <v>44</v>
      </c>
      <c r="C44" s="1">
        <v>50</v>
      </c>
      <c r="D44" s="5" t="s">
        <v>8</v>
      </c>
      <c r="E44" s="5" t="s">
        <v>83</v>
      </c>
      <c r="F44" s="1">
        <v>1</v>
      </c>
      <c r="G44" s="1" t="s">
        <v>50</v>
      </c>
      <c r="H44" s="1" t="s">
        <v>15</v>
      </c>
    </row>
    <row r="45" spans="1:8" x14ac:dyDescent="0.2">
      <c r="A45" s="33"/>
      <c r="B45" s="1" t="s">
        <v>43</v>
      </c>
      <c r="C45" s="1">
        <v>47</v>
      </c>
      <c r="D45" s="5" t="s">
        <v>0</v>
      </c>
      <c r="E45" s="5" t="s">
        <v>1</v>
      </c>
      <c r="F45" s="1">
        <v>3</v>
      </c>
      <c r="G45" s="1" t="s">
        <v>51</v>
      </c>
      <c r="H45" s="1">
        <v>104</v>
      </c>
    </row>
    <row r="46" spans="1:8" x14ac:dyDescent="0.2">
      <c r="A46" s="33"/>
      <c r="B46" s="1" t="s">
        <v>42</v>
      </c>
      <c r="C46" s="1">
        <v>50</v>
      </c>
      <c r="D46" s="5" t="s">
        <v>0</v>
      </c>
      <c r="E46" s="5" t="s">
        <v>83</v>
      </c>
      <c r="F46" s="1">
        <v>3</v>
      </c>
      <c r="G46" s="1" t="s">
        <v>50</v>
      </c>
      <c r="H46" s="1">
        <v>123</v>
      </c>
    </row>
  </sheetData>
  <mergeCells count="5">
    <mergeCell ref="J2:N2"/>
    <mergeCell ref="A3:A15"/>
    <mergeCell ref="A16:A28"/>
    <mergeCell ref="A29:A46"/>
    <mergeCell ref="A1:I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B96-D246-8041-B2EA-DCD41137EA06}">
  <dimension ref="A1:B23"/>
  <sheetViews>
    <sheetView tabSelected="1" zoomScale="109" workbookViewId="0">
      <selection sqref="A1:B1"/>
    </sheetView>
  </sheetViews>
  <sheetFormatPr baseColWidth="10" defaultRowHeight="15" x14ac:dyDescent="0.2"/>
  <cols>
    <col min="1" max="1" width="27.33203125" customWidth="1"/>
    <col min="2" max="2" width="27.6640625" customWidth="1"/>
  </cols>
  <sheetData>
    <row r="1" spans="1:2" x14ac:dyDescent="0.2">
      <c r="A1" s="32" t="s">
        <v>149</v>
      </c>
      <c r="B1" s="32"/>
    </row>
    <row r="2" spans="1:2" x14ac:dyDescent="0.2">
      <c r="A2" s="1" t="s">
        <v>53</v>
      </c>
      <c r="B2" s="1" t="s">
        <v>54</v>
      </c>
    </row>
    <row r="3" spans="1:2" x14ac:dyDescent="0.2">
      <c r="A3" s="1" t="s">
        <v>55</v>
      </c>
      <c r="B3" s="1" t="s">
        <v>80</v>
      </c>
    </row>
    <row r="4" spans="1:2" x14ac:dyDescent="0.2">
      <c r="A4" s="1" t="s">
        <v>56</v>
      </c>
      <c r="B4" s="1" t="s">
        <v>52</v>
      </c>
    </row>
    <row r="5" spans="1:2" x14ac:dyDescent="0.2">
      <c r="A5" s="1" t="s">
        <v>57</v>
      </c>
      <c r="B5" s="1" t="s">
        <v>58</v>
      </c>
    </row>
    <row r="6" spans="1:2" x14ac:dyDescent="0.2">
      <c r="A6" s="4" t="s">
        <v>78</v>
      </c>
      <c r="B6" s="4" t="s">
        <v>79</v>
      </c>
    </row>
    <row r="7" spans="1:2" x14ac:dyDescent="0.2">
      <c r="A7" s="4" t="s">
        <v>82</v>
      </c>
      <c r="B7" s="4" t="s">
        <v>81</v>
      </c>
    </row>
    <row r="8" spans="1:2" x14ac:dyDescent="0.2">
      <c r="A8" s="1" t="s">
        <v>60</v>
      </c>
      <c r="B8" s="1" t="s">
        <v>54</v>
      </c>
    </row>
    <row r="9" spans="1:2" x14ac:dyDescent="0.2">
      <c r="A9" s="1" t="s">
        <v>61</v>
      </c>
      <c r="B9" s="1" t="s">
        <v>59</v>
      </c>
    </row>
    <row r="10" spans="1:2" x14ac:dyDescent="0.2">
      <c r="A10" s="1" t="s">
        <v>62</v>
      </c>
      <c r="B10" s="1" t="s">
        <v>54</v>
      </c>
    </row>
    <row r="11" spans="1:2" x14ac:dyDescent="0.2">
      <c r="A11" s="1" t="s">
        <v>63</v>
      </c>
      <c r="B11" s="1" t="s">
        <v>54</v>
      </c>
    </row>
    <row r="12" spans="1:2" x14ac:dyDescent="0.2">
      <c r="A12" s="1" t="s">
        <v>64</v>
      </c>
      <c r="B12" s="1" t="s">
        <v>52</v>
      </c>
    </row>
    <row r="13" spans="1:2" x14ac:dyDescent="0.2">
      <c r="A13" s="1" t="s">
        <v>65</v>
      </c>
      <c r="B13" s="1" t="s">
        <v>52</v>
      </c>
    </row>
    <row r="14" spans="1:2" x14ac:dyDescent="0.2">
      <c r="A14" s="1" t="s">
        <v>66</v>
      </c>
      <c r="B14" s="1" t="s">
        <v>59</v>
      </c>
    </row>
    <row r="15" spans="1:2" x14ac:dyDescent="0.2">
      <c r="A15" s="1" t="s">
        <v>67</v>
      </c>
      <c r="B15" s="1" t="s">
        <v>54</v>
      </c>
    </row>
    <row r="16" spans="1:2" x14ac:dyDescent="0.2">
      <c r="A16" s="1" t="s">
        <v>68</v>
      </c>
      <c r="B16" s="1" t="s">
        <v>54</v>
      </c>
    </row>
    <row r="17" spans="1:2" x14ac:dyDescent="0.2">
      <c r="A17" s="1" t="s">
        <v>69</v>
      </c>
      <c r="B17" s="1" t="s">
        <v>52</v>
      </c>
    </row>
    <row r="18" spans="1:2" x14ac:dyDescent="0.2">
      <c r="A18" s="1" t="s">
        <v>70</v>
      </c>
      <c r="B18" s="1" t="s">
        <v>54</v>
      </c>
    </row>
    <row r="19" spans="1:2" x14ac:dyDescent="0.2">
      <c r="A19" s="1" t="s">
        <v>71</v>
      </c>
      <c r="B19" s="1" t="s">
        <v>52</v>
      </c>
    </row>
    <row r="20" spans="1:2" x14ac:dyDescent="0.2">
      <c r="A20" s="1">
        <v>77570</v>
      </c>
      <c r="B20" s="1" t="s">
        <v>54</v>
      </c>
    </row>
    <row r="21" spans="1:2" x14ac:dyDescent="0.2">
      <c r="A21" s="1" t="s">
        <v>72</v>
      </c>
      <c r="B21" s="1" t="s">
        <v>54</v>
      </c>
    </row>
    <row r="22" spans="1:2" x14ac:dyDescent="0.2">
      <c r="A22" s="1" t="s">
        <v>73</v>
      </c>
      <c r="B22" s="1" t="s">
        <v>52</v>
      </c>
    </row>
    <row r="23" spans="1:2" x14ac:dyDescent="0.2">
      <c r="A23" s="1">
        <v>83942</v>
      </c>
      <c r="B23" s="1" t="s">
        <v>54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853BE-266F-994A-BC80-5AECA65D79DE}">
  <dimension ref="A1:I26"/>
  <sheetViews>
    <sheetView zoomScale="134" workbookViewId="0">
      <selection sqref="A1:I1"/>
    </sheetView>
  </sheetViews>
  <sheetFormatPr baseColWidth="10" defaultRowHeight="15" x14ac:dyDescent="0.2"/>
  <cols>
    <col min="1" max="1" width="19.83203125" style="12" customWidth="1"/>
    <col min="2" max="2" width="17.5" customWidth="1"/>
    <col min="6" max="6" width="34.1640625" customWidth="1"/>
    <col min="8" max="8" width="12.83203125" bestFit="1" customWidth="1"/>
    <col min="9" max="9" width="32.1640625" bestFit="1" customWidth="1"/>
  </cols>
  <sheetData>
    <row r="1" spans="1:9" x14ac:dyDescent="0.2">
      <c r="A1" s="35" t="s">
        <v>121</v>
      </c>
      <c r="B1" s="35"/>
      <c r="C1" s="35"/>
      <c r="D1" s="35"/>
      <c r="E1" s="35"/>
      <c r="F1" s="35"/>
      <c r="G1" s="35"/>
      <c r="H1" s="35"/>
      <c r="I1" s="35"/>
    </row>
    <row r="2" spans="1:9" x14ac:dyDescent="0.2">
      <c r="A2" s="14" t="s">
        <v>77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76</v>
      </c>
      <c r="G2" s="9" t="s">
        <v>7</v>
      </c>
      <c r="H2" s="14" t="s">
        <v>113</v>
      </c>
      <c r="I2" s="9" t="s">
        <v>114</v>
      </c>
    </row>
    <row r="3" spans="1:9" ht="30" x14ac:dyDescent="0.2">
      <c r="A3" s="13" t="s">
        <v>117</v>
      </c>
      <c r="B3" s="16">
        <v>63</v>
      </c>
      <c r="C3" s="21" t="s">
        <v>0</v>
      </c>
      <c r="D3" s="8" t="s">
        <v>1</v>
      </c>
      <c r="E3" s="8">
        <v>3</v>
      </c>
      <c r="F3" s="17" t="s">
        <v>99</v>
      </c>
      <c r="G3" s="18">
        <v>23</v>
      </c>
      <c r="H3" s="20">
        <v>40312</v>
      </c>
      <c r="I3" s="8" t="s">
        <v>115</v>
      </c>
    </row>
    <row r="4" spans="1:9" ht="16" x14ac:dyDescent="0.2">
      <c r="A4" s="13" t="s">
        <v>118</v>
      </c>
      <c r="B4" s="16">
        <v>71</v>
      </c>
      <c r="C4" s="8" t="s">
        <v>8</v>
      </c>
      <c r="D4" s="8" t="s">
        <v>1</v>
      </c>
      <c r="E4" s="8">
        <v>1</v>
      </c>
      <c r="F4" s="17"/>
      <c r="G4" s="18">
        <v>27.533333333333335</v>
      </c>
      <c r="H4" s="20">
        <v>41026</v>
      </c>
      <c r="I4" s="8" t="s">
        <v>116</v>
      </c>
    </row>
    <row r="5" spans="1:9" ht="30" x14ac:dyDescent="0.2">
      <c r="A5" s="13" t="s">
        <v>119</v>
      </c>
      <c r="B5" s="16">
        <v>68</v>
      </c>
      <c r="C5" s="8" t="s">
        <v>0</v>
      </c>
      <c r="D5" s="8" t="s">
        <v>1</v>
      </c>
      <c r="E5" s="8">
        <v>2</v>
      </c>
      <c r="F5" s="17" t="s">
        <v>100</v>
      </c>
      <c r="G5" s="18">
        <v>31.47</v>
      </c>
      <c r="H5" s="20">
        <v>42621</v>
      </c>
      <c r="I5" s="8" t="s">
        <v>115</v>
      </c>
    </row>
    <row r="6" spans="1:9" ht="16" x14ac:dyDescent="0.2">
      <c r="A6" s="13" t="s">
        <v>120</v>
      </c>
      <c r="B6" s="16">
        <v>44</v>
      </c>
      <c r="C6" s="8" t="s">
        <v>0</v>
      </c>
      <c r="D6" s="8" t="s">
        <v>98</v>
      </c>
      <c r="E6" s="8">
        <v>3</v>
      </c>
      <c r="F6" s="17" t="s">
        <v>14</v>
      </c>
      <c r="G6" s="18"/>
      <c r="H6" s="20">
        <v>42381</v>
      </c>
      <c r="I6" s="8" t="s">
        <v>116</v>
      </c>
    </row>
    <row r="7" spans="1:9" x14ac:dyDescent="0.2">
      <c r="A7" s="15" t="s">
        <v>104</v>
      </c>
      <c r="B7" s="16">
        <v>71</v>
      </c>
      <c r="C7" s="8" t="s">
        <v>8</v>
      </c>
      <c r="D7" s="8" t="s">
        <v>98</v>
      </c>
      <c r="E7" s="8">
        <v>2</v>
      </c>
      <c r="F7" s="17" t="s">
        <v>14</v>
      </c>
      <c r="G7" s="18">
        <v>30.233333333333334</v>
      </c>
      <c r="H7" s="20">
        <v>42587</v>
      </c>
      <c r="I7" s="8" t="s">
        <v>116</v>
      </c>
    </row>
    <row r="8" spans="1:9" x14ac:dyDescent="0.2">
      <c r="A8" s="15" t="s">
        <v>105</v>
      </c>
      <c r="B8" s="16">
        <v>71</v>
      </c>
      <c r="C8" s="8" t="s">
        <v>0</v>
      </c>
      <c r="D8" s="8" t="s">
        <v>98</v>
      </c>
      <c r="E8" s="8">
        <v>1</v>
      </c>
      <c r="F8" s="17" t="s">
        <v>14</v>
      </c>
      <c r="G8" s="18"/>
      <c r="H8" s="20">
        <v>42816</v>
      </c>
      <c r="I8" s="8" t="s">
        <v>116</v>
      </c>
    </row>
    <row r="9" spans="1:9" x14ac:dyDescent="0.2">
      <c r="A9" s="15" t="s">
        <v>106</v>
      </c>
      <c r="B9" s="16">
        <v>74</v>
      </c>
      <c r="C9" s="8" t="s">
        <v>8</v>
      </c>
      <c r="D9" s="8" t="s">
        <v>1</v>
      </c>
      <c r="E9" s="10">
        <v>1</v>
      </c>
      <c r="F9" s="17" t="s">
        <v>14</v>
      </c>
      <c r="G9" s="18">
        <v>6.4666666666666668</v>
      </c>
      <c r="H9" s="20">
        <v>42357</v>
      </c>
      <c r="I9" s="8" t="s">
        <v>116</v>
      </c>
    </row>
    <row r="10" spans="1:9" x14ac:dyDescent="0.2">
      <c r="A10" s="15" t="s">
        <v>107</v>
      </c>
      <c r="B10" s="16">
        <v>38</v>
      </c>
      <c r="C10" s="8" t="s">
        <v>0</v>
      </c>
      <c r="D10" s="8" t="s">
        <v>1</v>
      </c>
      <c r="E10" s="10">
        <v>1</v>
      </c>
      <c r="F10" s="17" t="s">
        <v>14</v>
      </c>
      <c r="G10" s="18">
        <v>44.333333333333336</v>
      </c>
      <c r="H10" s="20">
        <v>42293</v>
      </c>
      <c r="I10" s="8" t="s">
        <v>116</v>
      </c>
    </row>
    <row r="11" spans="1:9" x14ac:dyDescent="0.2">
      <c r="A11" s="15" t="s">
        <v>108</v>
      </c>
      <c r="B11" s="16">
        <v>69</v>
      </c>
      <c r="C11" s="8" t="s">
        <v>0</v>
      </c>
      <c r="D11" s="8" t="s">
        <v>98</v>
      </c>
      <c r="E11" s="8">
        <v>3</v>
      </c>
      <c r="F11" s="17" t="s">
        <v>14</v>
      </c>
      <c r="G11" s="18">
        <v>47.233333333333334</v>
      </c>
      <c r="H11" s="20">
        <v>42585</v>
      </c>
      <c r="I11" s="8" t="s">
        <v>116</v>
      </c>
    </row>
    <row r="12" spans="1:9" x14ac:dyDescent="0.2">
      <c r="A12" s="15" t="s">
        <v>109</v>
      </c>
      <c r="B12" s="16">
        <v>54</v>
      </c>
      <c r="C12" s="8" t="s">
        <v>0</v>
      </c>
      <c r="D12" s="8" t="s">
        <v>98</v>
      </c>
      <c r="E12" s="8">
        <v>2</v>
      </c>
      <c r="F12" s="17" t="s">
        <v>14</v>
      </c>
      <c r="G12" s="18">
        <v>38.633333333333333</v>
      </c>
      <c r="H12" s="20">
        <v>42763</v>
      </c>
      <c r="I12" s="8" t="s">
        <v>116</v>
      </c>
    </row>
    <row r="13" spans="1:9" ht="30" x14ac:dyDescent="0.2">
      <c r="A13" s="15" t="s">
        <v>110</v>
      </c>
      <c r="B13" s="16">
        <v>59</v>
      </c>
      <c r="C13" s="8" t="s">
        <v>8</v>
      </c>
      <c r="D13" s="8" t="s">
        <v>1</v>
      </c>
      <c r="E13" s="8">
        <v>1</v>
      </c>
      <c r="F13" s="17" t="s">
        <v>14</v>
      </c>
      <c r="G13" s="19" t="s">
        <v>101</v>
      </c>
      <c r="H13" s="20">
        <v>42368</v>
      </c>
      <c r="I13" s="8" t="s">
        <v>116</v>
      </c>
    </row>
    <row r="14" spans="1:9" ht="30" x14ac:dyDescent="0.2">
      <c r="A14" s="15" t="s">
        <v>111</v>
      </c>
      <c r="B14" s="16">
        <v>62</v>
      </c>
      <c r="C14" s="8" t="s">
        <v>0</v>
      </c>
      <c r="D14" s="8" t="s">
        <v>98</v>
      </c>
      <c r="E14" s="8">
        <v>3</v>
      </c>
      <c r="F14" s="17" t="s">
        <v>14</v>
      </c>
      <c r="G14" s="19" t="s">
        <v>102</v>
      </c>
      <c r="H14" s="20">
        <v>42339</v>
      </c>
      <c r="I14" s="8" t="s">
        <v>116</v>
      </c>
    </row>
    <row r="15" spans="1:9" x14ac:dyDescent="0.2">
      <c r="A15" s="15" t="s">
        <v>112</v>
      </c>
      <c r="B15" s="16">
        <v>59</v>
      </c>
      <c r="C15" s="8" t="s">
        <v>8</v>
      </c>
      <c r="D15" s="8" t="s">
        <v>1</v>
      </c>
      <c r="E15" s="8">
        <v>2</v>
      </c>
      <c r="F15" s="17" t="s">
        <v>14</v>
      </c>
      <c r="G15" s="18">
        <v>43.333333333333336</v>
      </c>
      <c r="H15" s="20">
        <v>42713</v>
      </c>
      <c r="I15" s="8" t="s">
        <v>116</v>
      </c>
    </row>
    <row r="16" spans="1:9" x14ac:dyDescent="0.2">
      <c r="B16" s="11"/>
    </row>
    <row r="17" spans="1:2" x14ac:dyDescent="0.2">
      <c r="B17" s="11"/>
    </row>
    <row r="19" spans="1:2" x14ac:dyDescent="0.2">
      <c r="A19" s="30"/>
      <c r="B19" s="31"/>
    </row>
    <row r="20" spans="1:2" x14ac:dyDescent="0.2">
      <c r="A20" s="36" t="s">
        <v>133</v>
      </c>
      <c r="B20" s="36"/>
    </row>
    <row r="21" spans="1:2" x14ac:dyDescent="0.2">
      <c r="A21" s="27" t="s">
        <v>134</v>
      </c>
      <c r="B21" s="28" t="s">
        <v>135</v>
      </c>
    </row>
    <row r="22" spans="1:2" x14ac:dyDescent="0.2">
      <c r="A22" s="27" t="s">
        <v>130</v>
      </c>
      <c r="B22" s="28" t="s">
        <v>136</v>
      </c>
    </row>
    <row r="23" spans="1:2" x14ac:dyDescent="0.2">
      <c r="A23" s="27" t="s">
        <v>137</v>
      </c>
      <c r="B23" s="28" t="s">
        <v>138</v>
      </c>
    </row>
    <row r="24" spans="1:2" x14ac:dyDescent="0.2">
      <c r="A24" s="27" t="s">
        <v>139</v>
      </c>
      <c r="B24" s="28" t="s">
        <v>140</v>
      </c>
    </row>
    <row r="25" spans="1:2" x14ac:dyDescent="0.2">
      <c r="A25" s="27" t="s">
        <v>141</v>
      </c>
      <c r="B25" s="28" t="s">
        <v>142</v>
      </c>
    </row>
    <row r="26" spans="1:2" x14ac:dyDescent="0.2">
      <c r="A26" s="29" t="s">
        <v>144</v>
      </c>
      <c r="B26" s="28" t="s">
        <v>143</v>
      </c>
    </row>
  </sheetData>
  <mergeCells count="2">
    <mergeCell ref="A1:I1"/>
    <mergeCell ref="A20:B20"/>
  </mergeCells>
  <conditionalFormatting sqref="A17">
    <cfRule type="duplicateValues" dxfId="11" priority="23"/>
  </conditionalFormatting>
  <conditionalFormatting sqref="A3:A6">
    <cfRule type="duplicateValues" dxfId="10" priority="12"/>
  </conditionalFormatting>
  <conditionalFormatting sqref="A7">
    <cfRule type="duplicateValues" dxfId="9" priority="11"/>
  </conditionalFormatting>
  <conditionalFormatting sqref="A8">
    <cfRule type="duplicateValues" dxfId="8" priority="10"/>
  </conditionalFormatting>
  <conditionalFormatting sqref="A9">
    <cfRule type="duplicateValues" dxfId="7" priority="9"/>
  </conditionalFormatting>
  <conditionalFormatting sqref="A10">
    <cfRule type="duplicateValues" dxfId="6" priority="8"/>
  </conditionalFormatting>
  <conditionalFormatting sqref="A11">
    <cfRule type="duplicateValues" dxfId="5" priority="7"/>
  </conditionalFormatting>
  <conditionalFormatting sqref="A12">
    <cfRule type="duplicateValues" dxfId="4" priority="6"/>
  </conditionalFormatting>
  <conditionalFormatting sqref="A13">
    <cfRule type="duplicateValues" dxfId="3" priority="5"/>
  </conditionalFormatting>
  <conditionalFormatting sqref="A14">
    <cfRule type="duplicateValues" dxfId="2" priority="4"/>
  </conditionalFormatting>
  <conditionalFormatting sqref="A15">
    <cfRule type="duplicateValues" dxfId="1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AEA42-0FAB-0C41-83C5-4C219566A48C}">
  <dimension ref="A1:I14"/>
  <sheetViews>
    <sheetView zoomScale="133" workbookViewId="0">
      <selection activeCell="F22" sqref="F22"/>
    </sheetView>
  </sheetViews>
  <sheetFormatPr baseColWidth="10" defaultRowHeight="15" x14ac:dyDescent="0.2"/>
  <cols>
    <col min="5" max="5" width="22.1640625" customWidth="1"/>
    <col min="6" max="6" width="23.1640625" customWidth="1"/>
    <col min="8" max="8" width="14.83203125" customWidth="1"/>
    <col min="9" max="9" width="23.6640625" customWidth="1"/>
  </cols>
  <sheetData>
    <row r="1" spans="1:9" x14ac:dyDescent="0.2">
      <c r="A1" s="32" t="s">
        <v>147</v>
      </c>
      <c r="B1" s="32"/>
      <c r="C1" s="32"/>
      <c r="D1" s="32"/>
      <c r="E1" s="32"/>
      <c r="F1" s="32"/>
      <c r="G1" s="32"/>
      <c r="H1" s="32"/>
      <c r="I1" s="32"/>
    </row>
    <row r="2" spans="1:9" x14ac:dyDescent="0.2">
      <c r="A2" s="14" t="s">
        <v>77</v>
      </c>
      <c r="B2" s="22" t="s">
        <v>3</v>
      </c>
      <c r="C2" s="22" t="s">
        <v>4</v>
      </c>
      <c r="D2" s="22" t="s">
        <v>5</v>
      </c>
      <c r="E2" s="23" t="s">
        <v>6</v>
      </c>
      <c r="F2" s="25" t="s">
        <v>132</v>
      </c>
      <c r="G2" s="25" t="s">
        <v>131</v>
      </c>
      <c r="H2" s="14" t="s">
        <v>146</v>
      </c>
      <c r="I2" s="22" t="s">
        <v>114</v>
      </c>
    </row>
    <row r="3" spans="1:9" ht="16" x14ac:dyDescent="0.2">
      <c r="A3" s="13">
        <v>51522</v>
      </c>
      <c r="B3" s="12">
        <v>69</v>
      </c>
      <c r="C3" s="12" t="s">
        <v>0</v>
      </c>
      <c r="D3" s="12" t="s">
        <v>1</v>
      </c>
      <c r="E3" s="12" t="s">
        <v>123</v>
      </c>
      <c r="F3" s="12"/>
      <c r="G3" s="12" t="s">
        <v>15</v>
      </c>
      <c r="H3" s="24">
        <v>43504</v>
      </c>
      <c r="I3" s="12" t="s">
        <v>127</v>
      </c>
    </row>
    <row r="4" spans="1:9" ht="16" x14ac:dyDescent="0.2">
      <c r="A4" s="13">
        <v>63431</v>
      </c>
      <c r="B4" s="12">
        <v>62</v>
      </c>
      <c r="C4" s="12" t="s">
        <v>0</v>
      </c>
      <c r="D4" s="12" t="s">
        <v>1</v>
      </c>
      <c r="E4" s="12" t="s">
        <v>124</v>
      </c>
      <c r="F4" s="12"/>
      <c r="G4" s="26">
        <v>43009</v>
      </c>
      <c r="H4" s="24">
        <v>42900</v>
      </c>
      <c r="I4" s="12" t="s">
        <v>127</v>
      </c>
    </row>
    <row r="5" spans="1:9" ht="16" x14ac:dyDescent="0.2">
      <c r="A5" s="13">
        <v>10871</v>
      </c>
      <c r="B5" s="12">
        <v>54</v>
      </c>
      <c r="C5" s="12" t="s">
        <v>0</v>
      </c>
      <c r="D5" s="12" t="s">
        <v>1</v>
      </c>
      <c r="E5" s="12" t="s">
        <v>123</v>
      </c>
      <c r="F5" s="12" t="s">
        <v>129</v>
      </c>
      <c r="G5" s="26">
        <v>40116</v>
      </c>
      <c r="H5" s="24">
        <v>41360</v>
      </c>
      <c r="I5" s="12" t="s">
        <v>128</v>
      </c>
    </row>
    <row r="6" spans="1:9" ht="16" x14ac:dyDescent="0.2">
      <c r="A6" s="13">
        <v>10089</v>
      </c>
      <c r="B6" s="12">
        <v>67</v>
      </c>
      <c r="C6" s="12" t="s">
        <v>0</v>
      </c>
      <c r="D6" s="12" t="s">
        <v>1</v>
      </c>
      <c r="E6" s="12" t="s">
        <v>123</v>
      </c>
      <c r="F6" s="12" t="s">
        <v>129</v>
      </c>
      <c r="G6" s="26">
        <v>40940</v>
      </c>
      <c r="H6" s="24">
        <v>42388</v>
      </c>
      <c r="I6" s="12" t="s">
        <v>128</v>
      </c>
    </row>
    <row r="7" spans="1:9" ht="16" x14ac:dyDescent="0.2">
      <c r="A7" s="13">
        <v>75008</v>
      </c>
      <c r="B7" s="12">
        <v>56</v>
      </c>
      <c r="C7" s="12" t="s">
        <v>0</v>
      </c>
      <c r="D7" s="12" t="s">
        <v>98</v>
      </c>
      <c r="E7" s="12" t="s">
        <v>124</v>
      </c>
      <c r="F7" s="12" t="s">
        <v>130</v>
      </c>
      <c r="G7" s="26">
        <v>41677</v>
      </c>
      <c r="H7" s="24">
        <v>42341</v>
      </c>
      <c r="I7" s="12" t="s">
        <v>128</v>
      </c>
    </row>
    <row r="8" spans="1:9" ht="16" x14ac:dyDescent="0.2">
      <c r="A8" s="13">
        <v>90767</v>
      </c>
      <c r="B8" s="12">
        <v>62</v>
      </c>
      <c r="C8" s="12" t="s">
        <v>0</v>
      </c>
      <c r="D8" s="12" t="s">
        <v>1</v>
      </c>
      <c r="E8" s="12" t="s">
        <v>125</v>
      </c>
      <c r="F8" s="12"/>
      <c r="G8" s="26">
        <v>42299</v>
      </c>
      <c r="H8" s="24">
        <v>42361</v>
      </c>
      <c r="I8" s="12" t="s">
        <v>128</v>
      </c>
    </row>
    <row r="9" spans="1:9" ht="16" x14ac:dyDescent="0.2">
      <c r="A9" s="13">
        <v>67609</v>
      </c>
      <c r="B9" s="12">
        <v>80</v>
      </c>
      <c r="C9" s="12" t="s">
        <v>8</v>
      </c>
      <c r="D9" s="12" t="s">
        <v>1</v>
      </c>
      <c r="E9" s="12" t="s">
        <v>123</v>
      </c>
      <c r="F9" s="12"/>
      <c r="G9" s="12" t="s">
        <v>15</v>
      </c>
      <c r="H9" s="24">
        <v>43193</v>
      </c>
      <c r="I9" s="12" t="s">
        <v>127</v>
      </c>
    </row>
    <row r="10" spans="1:9" ht="16" x14ac:dyDescent="0.2">
      <c r="A10" s="13">
        <v>66127</v>
      </c>
      <c r="B10" s="12">
        <v>80</v>
      </c>
      <c r="C10" s="12" t="s">
        <v>8</v>
      </c>
      <c r="D10" s="12" t="s">
        <v>1</v>
      </c>
      <c r="E10" s="12" t="s">
        <v>124</v>
      </c>
      <c r="F10" s="12"/>
      <c r="G10" s="12" t="s">
        <v>125</v>
      </c>
      <c r="H10" s="24">
        <v>43438</v>
      </c>
      <c r="I10" s="12" t="s">
        <v>127</v>
      </c>
    </row>
    <row r="11" spans="1:9" ht="16" x14ac:dyDescent="0.2">
      <c r="A11" s="13">
        <v>60489</v>
      </c>
      <c r="B11" s="12">
        <v>85</v>
      </c>
      <c r="C11" s="12" t="s">
        <v>8</v>
      </c>
      <c r="D11" s="12" t="s">
        <v>1</v>
      </c>
      <c r="E11" s="12" t="s">
        <v>126</v>
      </c>
      <c r="F11" s="12"/>
      <c r="G11" s="12" t="s">
        <v>125</v>
      </c>
      <c r="H11" s="24">
        <v>43486</v>
      </c>
      <c r="I11" s="12" t="s">
        <v>127</v>
      </c>
    </row>
    <row r="12" spans="1:9" ht="16" x14ac:dyDescent="0.2">
      <c r="A12" s="13">
        <v>80106</v>
      </c>
      <c r="B12" s="12">
        <v>60</v>
      </c>
      <c r="C12" s="12" t="s">
        <v>0</v>
      </c>
      <c r="D12" s="12" t="s">
        <v>1</v>
      </c>
      <c r="E12" s="12" t="s">
        <v>123</v>
      </c>
      <c r="F12" s="12"/>
      <c r="G12" s="12" t="s">
        <v>15</v>
      </c>
      <c r="H12" s="24">
        <v>43546</v>
      </c>
      <c r="I12" s="12" t="s">
        <v>127</v>
      </c>
    </row>
    <row r="13" spans="1:9" ht="16" x14ac:dyDescent="0.2">
      <c r="A13" s="13">
        <v>10639</v>
      </c>
      <c r="B13" s="12">
        <v>77</v>
      </c>
      <c r="C13" s="12" t="s">
        <v>0</v>
      </c>
      <c r="D13" s="12" t="s">
        <v>1</v>
      </c>
      <c r="E13" s="12" t="s">
        <v>124</v>
      </c>
      <c r="F13" s="12"/>
      <c r="G13" s="12" t="s">
        <v>15</v>
      </c>
      <c r="H13" s="24">
        <v>43775</v>
      </c>
      <c r="I13" s="12" t="s">
        <v>127</v>
      </c>
    </row>
    <row r="14" spans="1:9" ht="16" x14ac:dyDescent="0.2">
      <c r="A14" s="13">
        <v>16261</v>
      </c>
      <c r="B14" s="12">
        <v>69</v>
      </c>
      <c r="C14" s="12" t="s">
        <v>0</v>
      </c>
      <c r="D14" s="12" t="s">
        <v>122</v>
      </c>
      <c r="E14" s="12" t="s">
        <v>145</v>
      </c>
      <c r="F14" s="12"/>
      <c r="G14" s="12" t="s">
        <v>15</v>
      </c>
      <c r="H14" s="24">
        <v>43878</v>
      </c>
      <c r="I14" s="12" t="s">
        <v>127</v>
      </c>
    </row>
  </sheetData>
  <mergeCells count="1">
    <mergeCell ref="A1:I1"/>
  </mergeCells>
  <conditionalFormatting sqref="A3:A14">
    <cfRule type="duplicateValues" dxfId="0" priority="2"/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WashU cohort1 stage info</vt:lpstr>
      <vt:lpstr>proteomics validation cohort</vt:lpstr>
      <vt:lpstr>flow validation cohort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2019-02-05T15:32:54Z</dcterms:created>
  <dcterms:modified xsi:type="dcterms:W3CDTF">2023-01-13T20:16:24Z</dcterms:modified>
  <cp:category/>
  <cp:contentStatus/>
</cp:coreProperties>
</file>